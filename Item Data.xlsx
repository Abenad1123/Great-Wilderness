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bena\OneDrive\Desktop\Abenadi\Game Projects\Great-Wilderness\"/>
    </mc:Choice>
  </mc:AlternateContent>
  <xr:revisionPtr revIDLastSave="0" documentId="13_ncr:1_{B00534C6-EC5E-43A3-BC26-95BD984D2D94}" xr6:coauthVersionLast="36" xr6:coauthVersionMax="36" xr10:uidLastSave="{00000000-0000-0000-0000-000000000000}"/>
  <bookViews>
    <workbookView xWindow="0" yWindow="0" windowWidth="17256" windowHeight="6096" tabRatio="747" activeTab="1" xr2:uid="{EB055037-95A4-419D-B5BA-8DCFC38A869A}"/>
  </bookViews>
  <sheets>
    <sheet name="MATERIAL DATA" sheetId="8" r:id="rId1"/>
    <sheet name="INDEX" sheetId="9" r:id="rId2"/>
    <sheet name="WEAPON" sheetId="1" r:id="rId3"/>
    <sheet name="EQUIPMENT" sheetId="2" r:id="rId4"/>
    <sheet name="CONSUMABLE" sheetId="3" r:id="rId5"/>
    <sheet name="MATERIAL" sheetId="4" r:id="rId6"/>
    <sheet name="TEXT" sheetId="5" r:id="rId7"/>
    <sheet name="TOOL" sheetId="6" r:id="rId8"/>
    <sheet name="MISC" sheetId="7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<sst xmlns="http://schemas.openxmlformats.org/spreadsheetml/2006/main" count="119" uniqueCount="71">
  <si>
    <t>Item name</t>
  </si>
  <si>
    <t>Category</t>
  </si>
  <si>
    <t>Quality</t>
  </si>
  <si>
    <t>Value</t>
  </si>
  <si>
    <t>Durablity</t>
  </si>
  <si>
    <t>Power</t>
  </si>
  <si>
    <t>Range</t>
  </si>
  <si>
    <t>Weight</t>
  </si>
  <si>
    <t>Axe</t>
  </si>
  <si>
    <t>Material</t>
  </si>
  <si>
    <t>Uncommon</t>
  </si>
  <si>
    <t>Common</t>
  </si>
  <si>
    <t>Iron</t>
  </si>
  <si>
    <t>Sword</t>
  </si>
  <si>
    <t>Rare</t>
  </si>
  <si>
    <t>Black Iron</t>
  </si>
  <si>
    <t>Dragon Bone</t>
  </si>
  <si>
    <t>Wooden axe</t>
  </si>
  <si>
    <t>Wooden sword</t>
  </si>
  <si>
    <t>Wooden hammer</t>
  </si>
  <si>
    <t>Wooden knife</t>
  </si>
  <si>
    <t>Knife</t>
  </si>
  <si>
    <t>Blunt</t>
  </si>
  <si>
    <t>Wooden Spear</t>
  </si>
  <si>
    <t>Spear</t>
  </si>
  <si>
    <t>Wooden Bow</t>
  </si>
  <si>
    <t>Bow</t>
  </si>
  <si>
    <t>Hammer</t>
  </si>
  <si>
    <t>Makeshift Club</t>
  </si>
  <si>
    <t>Bronze knuckles</t>
  </si>
  <si>
    <t>Panabas blade</t>
  </si>
  <si>
    <t>Wooden pole</t>
  </si>
  <si>
    <t>Pole</t>
  </si>
  <si>
    <t>Blade</t>
  </si>
  <si>
    <t>Hand</t>
  </si>
  <si>
    <t>Iron Star</t>
  </si>
  <si>
    <t>Throwable</t>
  </si>
  <si>
    <t>Special</t>
  </si>
  <si>
    <t>Lion Jade Seal</t>
  </si>
  <si>
    <t>Bronze Hand Bell</t>
  </si>
  <si>
    <t>Meters</t>
  </si>
  <si>
    <t>Kilogram</t>
  </si>
  <si>
    <t>Wood</t>
  </si>
  <si>
    <t>Bronze</t>
  </si>
  <si>
    <t>Refined Bronze</t>
  </si>
  <si>
    <t>Jade</t>
  </si>
  <si>
    <t>Soldier Iron Spear</t>
  </si>
  <si>
    <t>Iron Short Sword</t>
  </si>
  <si>
    <t>Jade Short Sword</t>
  </si>
  <si>
    <t>Green Iron Short Sword</t>
  </si>
  <si>
    <t>Tempered Iron</t>
  </si>
  <si>
    <t>Refined</t>
  </si>
  <si>
    <t>Tempered</t>
  </si>
  <si>
    <t>Crude</t>
  </si>
  <si>
    <t>Rusty</t>
  </si>
  <si>
    <t>Gold</t>
  </si>
  <si>
    <t>Gold Bronze</t>
  </si>
  <si>
    <t>Millennium Iron</t>
  </si>
  <si>
    <t>Meteorite Iron</t>
  </si>
  <si>
    <t>Defense</t>
  </si>
  <si>
    <t>Part</t>
  </si>
  <si>
    <t>Energy</t>
  </si>
  <si>
    <t>Effect</t>
  </si>
  <si>
    <t>Heavier weapons slows down attack speed</t>
  </si>
  <si>
    <t>Slash</t>
  </si>
  <si>
    <t>Piercing</t>
  </si>
  <si>
    <t>Ignores part of the defense</t>
  </si>
  <si>
    <t>Can cause bleeding against target with no armor or defense</t>
  </si>
  <si>
    <t>Higher crit damage. Armor Penetration by percentage</t>
  </si>
  <si>
    <t>Sound</t>
  </si>
  <si>
    <t>Attack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</si>
</sst>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49"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AC75D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AC75D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AC75D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AC75D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AC75D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AC75D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6D6D"/>
      <color rgb="FFAC7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C7D7B4-7626-48B0-9065-EEAD088E9102}" name="Table1" displayName="Table1" ref="A3:I20" totalsRowShown="0" headerRowDxfId="48" dataDxfId="47">
  <autoFilter ref="A3:I20" xr:uid="{B47E3D63-937D-4B63-A1E2-9120F80BF138}"/>
  <sortState ref="A4:I20">
    <sortCondition descending="1" ref="C3:C20"/>
  </sortState>
  <tableColumns count="9">
    <tableColumn id="1" xr3:uid="{5182B3AF-16C0-4765-8D21-D8366E99810B}" name="Item name" dataDxfId="46"/>
    <tableColumn id="2" xr3:uid="{A328B9F0-A359-4785-88CB-58AD3403335F}" name="Quality" dataDxfId="45"/>
    <tableColumn id="3" xr3:uid="{0BC7CBBB-8E37-48B5-92B7-BD70F73815BF}" name="Category" dataDxfId="44"/>
    <tableColumn id="4" xr3:uid="{039B475B-7A93-4A92-AFB2-627A5BD61094}" name="Value" dataDxfId="43"/>
    <tableColumn id="5" xr3:uid="{98157800-151E-49DA-BACB-714F37330C1E}" name="Durablity" dataDxfId="42"/>
    <tableColumn id="6" xr3:uid="{F9193B54-A8D6-4BDC-955D-52C96EF208B2}" name="Power" dataDxfId="41"/>
    <tableColumn id="7" xr3:uid="{803D2091-C4B6-4603-BC37-9210EBC95002}" name="Range" dataDxfId="40"/>
    <tableColumn id="8" xr3:uid="{1C130944-E743-4BFB-A51F-EDBBA43BADDA}" name="Weight" dataDxfId="39"/>
    <tableColumn id="9" xr3:uid="{FB14FE84-D1E1-4028-8156-9AA11AED8A4B}" name="Material" dataDxfId="38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3AE351-85DB-4A70-9003-7F1C96DA6A20}" name="Table15" displayName="Table15" ref="A3:I4" insertRow="1" totalsRowShown="0" headerRowDxfId="37" dataDxfId="36">
  <autoFilter ref="A3:I4" xr:uid="{528D5FF5-B3B3-4138-A51C-7D520F76C8C8}"/>
  <sortState ref="A4:I4">
    <sortCondition descending="1" ref="C3:C4"/>
  </sortState>
  <tableColumns count="9">
    <tableColumn id="1" xr3:uid="{8E3DB150-957D-48D7-AAF8-937DC8C8002F}" name="Item name" dataDxfId="35"/>
    <tableColumn id="2" xr3:uid="{D9220CFC-7E92-4E23-9A49-622F6FE0B17E}" name="Quality" dataDxfId="34"/>
    <tableColumn id="3" xr3:uid="{5EDA9625-A26E-41A5-93D0-D8750CCEA93A}" name="Category" dataDxfId="33"/>
    <tableColumn id="7" xr3:uid="{5E2A23C2-AABA-4407-9EBC-62D4531C0772}" name="Part" dataDxfId="27"/>
    <tableColumn id="4" xr3:uid="{B0169C65-00DA-4CCE-9180-EB7D172F7762}" name="Value" dataDxfId="32"/>
    <tableColumn id="5" xr3:uid="{5ED7678F-AC88-4247-9BC6-BC61B3996818}" name="Durablity" dataDxfId="31"/>
    <tableColumn id="6" xr3:uid="{9DB31BED-003F-410F-ABB4-2642A76998A6}" name="Defense" dataDxfId="30"/>
    <tableColumn id="8" xr3:uid="{11BEC19A-7E9B-44FF-8BA9-8394D10D84C7}" name="Weight" dataDxfId="29"/>
    <tableColumn id="9" xr3:uid="{EF061F1A-1A95-404D-94AF-4D861647974C}" name="Material" dataDxfId="2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704FEB-1DDC-4CAC-B0DD-AA2885265D8E}" name="Table156" displayName="Table156" ref="A2:G3" insertRow="1" totalsRowShown="0" headerRowDxfId="26" dataDxfId="25">
  <autoFilter ref="A2:G3" xr:uid="{B28467A0-F890-4FEF-87E8-798D0F7615A0}"/>
  <sortState ref="A3:G3">
    <sortCondition descending="1" ref="C3:C4"/>
  </sortState>
  <tableColumns count="7">
    <tableColumn id="1" xr3:uid="{23D03192-6454-4CEF-B7CE-0FAF07349979}" name="Item name" dataDxfId="24"/>
    <tableColumn id="2" xr3:uid="{6BF7B678-09E0-4ACE-AE63-AD7F02F455D1}" name="Quality" dataDxfId="23"/>
    <tableColumn id="3" xr3:uid="{1DA43B20-19B8-48E0-ABC5-5A6517CD4BD3}" name="Category" dataDxfId="22"/>
    <tableColumn id="4" xr3:uid="{226656FA-1412-4B8E-AA93-ECBD01F62A3C}" name="Value" dataDxfId="21"/>
    <tableColumn id="5" xr3:uid="{FC402AFC-1188-4556-88D1-DAC690A6BFCF}" name="Energy" dataDxfId="20"/>
    <tableColumn id="6" xr3:uid="{E70AD0CE-A9B5-4494-943A-4E01CF039341}" name="Effect" dataDxfId="19"/>
    <tableColumn id="8" xr3:uid="{3110B0FC-8A41-4CEB-BEC8-E1A65917CC20}" name="Weight" dataDxfId="1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CBBA9-6D63-405E-A819-44A9FDDBFABB}">
  <sheetPr codeName="Sheet1"/>
  <dimension ref="B2:E11"/>
  <sheetViews>
    <sheetView workbookViewId="0">
      <selection activeCell="E19" sqref="E19"/>
    </sheetView>
  </sheetViews>
  <sheetFormatPr defaultRowHeight="14.4" x14ac:dyDescent="0.3"/>
  <sheetData>
    <row r="2" spans="2:5" x14ac:dyDescent="0.3">
      <c r="B2" t="s">
        <v>54</v>
      </c>
      <c r="E2" t="s">
        <v>42</v>
      </c>
    </row>
    <row r="3" spans="2:5" x14ac:dyDescent="0.3">
      <c r="B3" t="s">
        <v>53</v>
      </c>
      <c r="E3" t="s">
        <v>12</v>
      </c>
    </row>
    <row r="4" spans="2:5" x14ac:dyDescent="0.3">
      <c r="B4" t="s">
        <v>51</v>
      </c>
      <c r="E4" t="s">
        <v>43</v>
      </c>
    </row>
    <row r="5" spans="2:5" x14ac:dyDescent="0.3">
      <c r="B5" t="s">
        <v>52</v>
      </c>
      <c r="E5" t="s">
        <v>45</v>
      </c>
    </row>
    <row r="6" spans="2:5" x14ac:dyDescent="0.3">
      <c r="E6" t="s">
        <v>15</v>
      </c>
    </row>
    <row r="7" spans="2:5" x14ac:dyDescent="0.3">
      <c r="E7" t="s">
        <v>16</v>
      </c>
    </row>
    <row r="8" spans="2:5" x14ac:dyDescent="0.3">
      <c r="E8" t="s">
        <v>55</v>
      </c>
    </row>
    <row r="9" spans="2:5" x14ac:dyDescent="0.3">
      <c r="E9" t="s">
        <v>56</v>
      </c>
    </row>
    <row r="10" spans="2:5" x14ac:dyDescent="0.3">
      <c r="E10" t="s">
        <v>57</v>
      </c>
    </row>
    <row r="11" spans="2:5" x14ac:dyDescent="0.3">
      <c r="E11" t="s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7F494-343A-490F-8A02-57404B9E65EF}">
  <sheetPr codeName="Sheet2"/>
  <dimension ref="D7:J19"/>
  <sheetViews>
    <sheetView tabSelected="1" zoomScaleNormal="100" workbookViewId="0">
      <selection activeCell="E13" sqref="E13"/>
    </sheetView>
  </sheetViews>
  <sheetFormatPr defaultRowHeight="14.4" x14ac:dyDescent="0.3"/>
  <sheetData>
    <row r="7" spans="4:10" ht="18" x14ac:dyDescent="0.35">
      <c r="D7" s="10" t="s">
        <v>70</v>
      </c>
      <c r="E7" s="10"/>
      <c r="F7" s="10"/>
      <c r="G7" s="10"/>
      <c r="H7" s="10"/>
      <c r="I7" s="10"/>
      <c r="J7" s="10"/>
    </row>
    <row r="9" spans="4:10" x14ac:dyDescent="0.3">
      <c r="D9" s="9" t="s">
        <v>22</v>
      </c>
      <c r="E9" s="8" t="s">
        <v>66</v>
      </c>
      <c r="F9" s="8"/>
      <c r="G9" s="8"/>
      <c r="H9" s="8"/>
      <c r="I9" s="8"/>
      <c r="J9" s="8"/>
    </row>
    <row r="10" spans="4:10" x14ac:dyDescent="0.3">
      <c r="D10" s="9" t="s">
        <v>65</v>
      </c>
      <c r="E10" s="8" t="s">
        <v>68</v>
      </c>
      <c r="F10" s="8"/>
      <c r="G10" s="8"/>
      <c r="H10" s="8"/>
      <c r="I10" s="8"/>
      <c r="J10" s="8"/>
    </row>
    <row r="11" spans="4:10" x14ac:dyDescent="0.3">
      <c r="D11" s="9" t="s">
        <v>64</v>
      </c>
      <c r="E11" s="8" t="s">
        <v>67</v>
      </c>
      <c r="F11" s="8"/>
      <c r="G11" s="8"/>
      <c r="H11" s="8"/>
      <c r="I11" s="8"/>
      <c r="J11" s="8"/>
    </row>
    <row r="12" spans="4:10" x14ac:dyDescent="0.3">
      <c r="D12" s="9" t="s">
        <v>61</v>
      </c>
      <c r="E12" s="1"/>
    </row>
    <row r="13" spans="4:10" x14ac:dyDescent="0.3">
      <c r="D13" s="9" t="s">
        <v>69</v>
      </c>
    </row>
    <row r="19" spans="4:4" x14ac:dyDescent="0.3">
      <c r="D19" s="1" t="s">
        <v>63</v>
      </c>
    </row>
  </sheetData>
  <mergeCells count="4">
    <mergeCell ref="E10:J10"/>
    <mergeCell ref="E11:J11"/>
    <mergeCell ref="E9:J9"/>
    <mergeCell ref="D7:J7"/>
  </mergeCells>
  <conditionalFormatting sqref="D9:D13">
    <cfRule type="cellIs" dxfId="17" priority="5" operator="equal">
      <formula>"Epic"</formula>
    </cfRule>
    <cfRule type="cellIs" dxfId="16" priority="7" operator="equal">
      <formula>"Uncommon"</formula>
    </cfRule>
    <cfRule type="cellIs" priority="8" operator="equal">
      <formula>"Common"</formula>
    </cfRule>
  </conditionalFormatting>
  <conditionalFormatting sqref="D9:D13">
    <cfRule type="cellIs" dxfId="15" priority="6" operator="equal">
      <formula>"Rare"</formula>
    </cfRule>
  </conditionalFormatting>
  <conditionalFormatting sqref="D19">
    <cfRule type="cellIs" dxfId="2" priority="1" operator="equal">
      <formula>"Epic"</formula>
    </cfRule>
    <cfRule type="cellIs" dxfId="1" priority="3" operator="equal">
      <formula>"Uncommon"</formula>
    </cfRule>
    <cfRule type="cellIs" priority="4" operator="equal">
      <formula>"Common"</formula>
    </cfRule>
  </conditionalFormatting>
  <conditionalFormatting sqref="D19">
    <cfRule type="cellIs" dxfId="0" priority="2" operator="equal">
      <formula>"Rare"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131A-87DA-416A-9278-D28D17715E60}">
  <sheetPr codeName="Sheet3"/>
  <dimension ref="A2:I20"/>
  <sheetViews>
    <sheetView zoomScale="70" zoomScaleNormal="70" workbookViewId="0">
      <selection activeCell="D29" sqref="D29"/>
    </sheetView>
  </sheetViews>
  <sheetFormatPr defaultRowHeight="14.4" x14ac:dyDescent="0.3"/>
  <cols>
    <col min="1" max="1" width="28.21875" style="3" customWidth="1"/>
    <col min="2" max="2" width="15.44140625" style="1" customWidth="1"/>
    <col min="3" max="3" width="13.21875" style="1" customWidth="1"/>
    <col min="4" max="4" width="11.5546875" style="1" customWidth="1"/>
    <col min="5" max="5" width="15.33203125" style="1" customWidth="1"/>
    <col min="6" max="6" width="15.6640625" style="1" customWidth="1"/>
    <col min="7" max="7" width="13.109375" style="1" customWidth="1"/>
    <col min="8" max="8" width="15.109375" style="1" customWidth="1"/>
    <col min="9" max="9" width="20.109375" style="1" customWidth="1"/>
    <col min="10" max="16384" width="8.88671875" style="1"/>
  </cols>
  <sheetData>
    <row r="2" spans="1:9" x14ac:dyDescent="0.3">
      <c r="G2" s="1" t="s">
        <v>40</v>
      </c>
      <c r="H2" s="1" t="s">
        <v>41</v>
      </c>
    </row>
    <row r="3" spans="1:9" ht="15.6" x14ac:dyDescent="0.3">
      <c r="A3" s="4" t="s">
        <v>0</v>
      </c>
      <c r="B3" s="2" t="s">
        <v>2</v>
      </c>
      <c r="C3" s="2" t="s">
        <v>1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9</v>
      </c>
    </row>
    <row r="4" spans="1:9" x14ac:dyDescent="0.3">
      <c r="A4" s="3" t="s">
        <v>35</v>
      </c>
      <c r="B4" s="1" t="s">
        <v>11</v>
      </c>
      <c r="C4" s="1" t="s">
        <v>36</v>
      </c>
      <c r="D4" s="1">
        <v>15</v>
      </c>
      <c r="E4" s="1">
        <v>20</v>
      </c>
      <c r="F4" s="1">
        <v>1</v>
      </c>
      <c r="G4" s="1">
        <v>30</v>
      </c>
      <c r="H4" s="1">
        <v>0.1</v>
      </c>
      <c r="I4" s="1" t="s">
        <v>12</v>
      </c>
    </row>
    <row r="5" spans="1:9" x14ac:dyDescent="0.3">
      <c r="A5" s="3" t="s">
        <v>18</v>
      </c>
      <c r="B5" s="1" t="s">
        <v>11</v>
      </c>
      <c r="C5" s="1" t="s">
        <v>13</v>
      </c>
      <c r="D5" s="1">
        <v>10</v>
      </c>
      <c r="E5" s="1">
        <v>10</v>
      </c>
      <c r="F5" s="1">
        <v>0.3</v>
      </c>
      <c r="G5" s="1">
        <v>1.5</v>
      </c>
      <c r="H5" s="1">
        <v>0.8</v>
      </c>
      <c r="I5" s="1" t="s">
        <v>42</v>
      </c>
    </row>
    <row r="6" spans="1:9" x14ac:dyDescent="0.3">
      <c r="A6" s="3" t="s">
        <v>47</v>
      </c>
      <c r="B6" s="5" t="s">
        <v>11</v>
      </c>
      <c r="C6" s="1" t="s">
        <v>13</v>
      </c>
      <c r="D6" s="1">
        <v>45</v>
      </c>
      <c r="E6" s="1">
        <v>28</v>
      </c>
      <c r="F6" s="1">
        <v>2</v>
      </c>
      <c r="G6" s="1">
        <v>1.5</v>
      </c>
      <c r="H6" s="1">
        <v>1.5</v>
      </c>
      <c r="I6" s="1" t="s">
        <v>12</v>
      </c>
    </row>
    <row r="7" spans="1:9" x14ac:dyDescent="0.3">
      <c r="A7" s="3" t="s">
        <v>48</v>
      </c>
      <c r="B7" s="7" t="s">
        <v>10</v>
      </c>
      <c r="C7" s="1" t="s">
        <v>13</v>
      </c>
      <c r="D7" s="1">
        <v>400</v>
      </c>
      <c r="E7" s="1">
        <v>50</v>
      </c>
      <c r="F7" s="1">
        <v>4</v>
      </c>
      <c r="G7" s="1">
        <v>1.3</v>
      </c>
      <c r="H7" s="1">
        <v>2</v>
      </c>
      <c r="I7" s="1" t="s">
        <v>45</v>
      </c>
    </row>
    <row r="8" spans="1:9" x14ac:dyDescent="0.3">
      <c r="A8" s="3" t="s">
        <v>49</v>
      </c>
      <c r="B8" s="1" t="s">
        <v>11</v>
      </c>
      <c r="C8" s="1" t="s">
        <v>13</v>
      </c>
      <c r="D8" s="1">
        <v>50</v>
      </c>
      <c r="E8" s="1">
        <v>30</v>
      </c>
      <c r="F8" s="1">
        <v>2</v>
      </c>
      <c r="G8" s="1">
        <v>1.5</v>
      </c>
      <c r="H8" s="1">
        <v>1.6</v>
      </c>
      <c r="I8" s="1" t="s">
        <v>50</v>
      </c>
    </row>
    <row r="9" spans="1:9" x14ac:dyDescent="0.3">
      <c r="A9" s="3" t="s">
        <v>39</v>
      </c>
      <c r="B9" s="1" t="s">
        <v>10</v>
      </c>
      <c r="C9" s="1" t="s">
        <v>37</v>
      </c>
      <c r="D9" s="1">
        <v>210</v>
      </c>
      <c r="E9" s="1">
        <v>40</v>
      </c>
      <c r="F9" s="1">
        <v>5</v>
      </c>
      <c r="G9" s="1">
        <v>30</v>
      </c>
      <c r="H9" s="1">
        <v>0.9</v>
      </c>
      <c r="I9" s="1" t="s">
        <v>44</v>
      </c>
    </row>
    <row r="10" spans="1:9" x14ac:dyDescent="0.3">
      <c r="A10" s="3" t="s">
        <v>38</v>
      </c>
      <c r="B10" s="1" t="s">
        <v>14</v>
      </c>
      <c r="C10" s="1" t="s">
        <v>37</v>
      </c>
      <c r="D10" s="1">
        <v>755</v>
      </c>
      <c r="E10" s="1">
        <v>110</v>
      </c>
      <c r="F10" s="1">
        <v>15</v>
      </c>
      <c r="G10" s="1">
        <v>50</v>
      </c>
      <c r="H10" s="1">
        <v>0.3</v>
      </c>
      <c r="I10" s="1" t="s">
        <v>45</v>
      </c>
    </row>
    <row r="11" spans="1:9" x14ac:dyDescent="0.3">
      <c r="A11" s="3" t="s">
        <v>23</v>
      </c>
      <c r="B11" s="1" t="s">
        <v>11</v>
      </c>
      <c r="C11" s="1" t="s">
        <v>24</v>
      </c>
      <c r="D11" s="1">
        <v>10</v>
      </c>
      <c r="E11" s="1">
        <v>10</v>
      </c>
      <c r="F11" s="1">
        <v>0.3</v>
      </c>
      <c r="G11" s="1">
        <v>3</v>
      </c>
      <c r="H11" s="1">
        <v>1</v>
      </c>
      <c r="I11" s="1" t="s">
        <v>42</v>
      </c>
    </row>
    <row r="12" spans="1:9" x14ac:dyDescent="0.3">
      <c r="A12" s="3" t="s">
        <v>46</v>
      </c>
      <c r="B12" s="1" t="s">
        <v>11</v>
      </c>
      <c r="C12" s="1" t="s">
        <v>24</v>
      </c>
      <c r="D12" s="1">
        <v>50</v>
      </c>
      <c r="E12" s="1">
        <v>30</v>
      </c>
      <c r="F12" s="1">
        <v>1.9</v>
      </c>
      <c r="G12" s="1">
        <v>3</v>
      </c>
      <c r="H12" s="1">
        <v>1.5</v>
      </c>
      <c r="I12" s="1" t="s">
        <v>12</v>
      </c>
    </row>
    <row r="13" spans="1:9" x14ac:dyDescent="0.3">
      <c r="A13" s="3" t="s">
        <v>31</v>
      </c>
      <c r="B13" s="1" t="s">
        <v>11</v>
      </c>
      <c r="C13" s="1" t="s">
        <v>32</v>
      </c>
      <c r="D13" s="1">
        <v>10</v>
      </c>
      <c r="E13" s="1">
        <v>10</v>
      </c>
      <c r="F13" s="1">
        <v>0.3</v>
      </c>
      <c r="G13" s="1">
        <v>3</v>
      </c>
      <c r="H13" s="1">
        <v>1</v>
      </c>
      <c r="I13" s="1" t="s">
        <v>42</v>
      </c>
    </row>
    <row r="14" spans="1:9" x14ac:dyDescent="0.3">
      <c r="A14" s="3" t="s">
        <v>20</v>
      </c>
      <c r="B14" s="1" t="s">
        <v>11</v>
      </c>
      <c r="C14" s="1" t="s">
        <v>21</v>
      </c>
      <c r="D14" s="1">
        <v>8</v>
      </c>
      <c r="E14" s="1">
        <v>5</v>
      </c>
      <c r="F14" s="1">
        <v>0.2</v>
      </c>
      <c r="G14" s="1">
        <v>1</v>
      </c>
      <c r="H14" s="1">
        <v>0.3</v>
      </c>
      <c r="I14" s="1" t="s">
        <v>42</v>
      </c>
    </row>
    <row r="15" spans="1:9" x14ac:dyDescent="0.3">
      <c r="A15" s="3" t="s">
        <v>29</v>
      </c>
      <c r="B15" s="1" t="s">
        <v>11</v>
      </c>
      <c r="C15" s="1" t="s">
        <v>34</v>
      </c>
      <c r="D15" s="1">
        <v>20</v>
      </c>
      <c r="E15" s="1">
        <v>25</v>
      </c>
      <c r="F15" s="1">
        <v>0.5</v>
      </c>
      <c r="G15" s="1">
        <v>1</v>
      </c>
      <c r="H15" s="1">
        <v>0.5</v>
      </c>
      <c r="I15" s="1" t="s">
        <v>43</v>
      </c>
    </row>
    <row r="16" spans="1:9" x14ac:dyDescent="0.3">
      <c r="A16" s="3" t="s">
        <v>19</v>
      </c>
      <c r="B16" s="1" t="s">
        <v>11</v>
      </c>
      <c r="C16" s="1" t="s">
        <v>27</v>
      </c>
      <c r="D16" s="1">
        <v>10</v>
      </c>
      <c r="E16" s="1">
        <v>10</v>
      </c>
      <c r="F16" s="1">
        <v>0.5</v>
      </c>
      <c r="G16" s="1">
        <v>2.8</v>
      </c>
      <c r="H16" s="1">
        <v>2.5</v>
      </c>
      <c r="I16" s="1" t="s">
        <v>42</v>
      </c>
    </row>
    <row r="17" spans="1:9" x14ac:dyDescent="0.3">
      <c r="A17" s="3" t="s">
        <v>25</v>
      </c>
      <c r="B17" s="1" t="s">
        <v>11</v>
      </c>
      <c r="C17" s="1" t="s">
        <v>26</v>
      </c>
      <c r="D17" s="1">
        <v>10</v>
      </c>
      <c r="E17" s="1">
        <v>8</v>
      </c>
      <c r="F17" s="1">
        <v>0.4</v>
      </c>
      <c r="G17" s="1">
        <v>100</v>
      </c>
      <c r="H17" s="1">
        <v>0.5</v>
      </c>
      <c r="I17" s="1" t="s">
        <v>42</v>
      </c>
    </row>
    <row r="18" spans="1:9" x14ac:dyDescent="0.3">
      <c r="A18" s="3" t="s">
        <v>28</v>
      </c>
      <c r="B18" s="6" t="s">
        <v>11</v>
      </c>
      <c r="C18" s="1" t="s">
        <v>22</v>
      </c>
      <c r="D18" s="1">
        <v>12</v>
      </c>
      <c r="E18" s="1">
        <v>15</v>
      </c>
      <c r="F18" s="1">
        <v>0.6</v>
      </c>
      <c r="G18" s="1">
        <v>1.5</v>
      </c>
      <c r="H18" s="1">
        <v>1.3</v>
      </c>
      <c r="I18" s="1" t="s">
        <v>42</v>
      </c>
    </row>
    <row r="19" spans="1:9" x14ac:dyDescent="0.3">
      <c r="A19" s="3" t="s">
        <v>30</v>
      </c>
      <c r="B19" s="7" t="s">
        <v>11</v>
      </c>
      <c r="C19" s="1" t="s">
        <v>33</v>
      </c>
      <c r="D19" s="1">
        <v>35</v>
      </c>
      <c r="E19" s="1">
        <v>23</v>
      </c>
      <c r="F19" s="1">
        <v>2</v>
      </c>
      <c r="G19" s="1">
        <v>1.5</v>
      </c>
      <c r="H19" s="1">
        <v>1</v>
      </c>
      <c r="I19" s="1" t="s">
        <v>12</v>
      </c>
    </row>
    <row r="20" spans="1:9" x14ac:dyDescent="0.3">
      <c r="A20" s="3" t="s">
        <v>17</v>
      </c>
      <c r="B20" s="1" t="s">
        <v>11</v>
      </c>
      <c r="C20" s="1" t="s">
        <v>8</v>
      </c>
      <c r="D20" s="1">
        <v>10</v>
      </c>
      <c r="E20" s="1">
        <v>10</v>
      </c>
      <c r="F20" s="1">
        <v>0.2</v>
      </c>
      <c r="G20" s="1">
        <v>1.3</v>
      </c>
      <c r="H20" s="1">
        <v>0.9</v>
      </c>
      <c r="I20" s="1" t="s">
        <v>42</v>
      </c>
    </row>
  </sheetData>
  <conditionalFormatting sqref="D1:D1048576">
    <cfRule type="colorScale" priority="12">
      <colorScale>
        <cfvo type="min"/>
        <cfvo type="percentile" val="50"/>
        <cfvo type="max"/>
        <color theme="0"/>
        <color rgb="FFFF6D6D"/>
        <color rgb="FFFF0000"/>
      </colorScale>
    </cfRule>
  </conditionalFormatting>
  <conditionalFormatting sqref="E1:E1048576">
    <cfRule type="colorScale" priority="11">
      <colorScale>
        <cfvo type="min"/>
        <cfvo type="percentile" val="50"/>
        <cfvo type="max"/>
        <color theme="0"/>
        <color rgb="FFFF6D6D"/>
        <color rgb="FFFF0000"/>
      </colorScale>
    </cfRule>
  </conditionalFormatting>
  <conditionalFormatting sqref="F1:F1048576">
    <cfRule type="colorScale" priority="10">
      <colorScale>
        <cfvo type="min"/>
        <cfvo type="percentile" val="50"/>
        <cfvo type="max"/>
        <color theme="0"/>
        <color rgb="FFFF6D6D"/>
        <color rgb="FFFF0000"/>
      </colorScale>
    </cfRule>
  </conditionalFormatting>
  <conditionalFormatting sqref="B16:B17 B1:B13 B19:B28 B33:B1048576">
    <cfRule type="cellIs" dxfId="14" priority="5" operator="equal">
      <formula>"Epic"</formula>
    </cfRule>
    <cfRule type="cellIs" dxfId="13" priority="7" operator="equal">
      <formula>"Uncommon"</formula>
    </cfRule>
    <cfRule type="cellIs" priority="8" operator="equal">
      <formula>"Common"</formula>
    </cfRule>
  </conditionalFormatting>
  <conditionalFormatting sqref="B16:B17 B1:B13 B19:B28 B33:B1048576">
    <cfRule type="cellIs" dxfId="12" priority="6" operator="equal">
      <formula>"Rare"</formula>
    </cfRule>
  </conditionalFormatting>
  <conditionalFormatting sqref="B15">
    <cfRule type="cellIs" dxfId="11" priority="1" operator="equal">
      <formula>"Epic"</formula>
    </cfRule>
    <cfRule type="cellIs" dxfId="10" priority="3" operator="equal">
      <formula>"Uncommon"</formula>
    </cfRule>
    <cfRule type="cellIs" priority="4" operator="equal">
      <formula>"Common"</formula>
    </cfRule>
  </conditionalFormatting>
  <conditionalFormatting sqref="B15">
    <cfRule type="cellIs" dxfId="9" priority="2" operator="equal">
      <formula>"Rare"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29D4A-062F-4388-920D-736CB8985E68}">
  <sheetPr codeName="Sheet4"/>
  <dimension ref="A3:I4"/>
  <sheetViews>
    <sheetView zoomScale="70" zoomScaleNormal="70" workbookViewId="0">
      <selection activeCell="A3" sqref="A3:I4"/>
    </sheetView>
  </sheetViews>
  <sheetFormatPr defaultRowHeight="14.4" x14ac:dyDescent="0.3"/>
  <cols>
    <col min="1" max="1" width="20.21875" bestFit="1" customWidth="1"/>
    <col min="2" max="2" width="14.6640625" customWidth="1"/>
    <col min="3" max="4" width="16.5546875" customWidth="1"/>
    <col min="5" max="5" width="14.21875" customWidth="1"/>
    <col min="6" max="6" width="17.77734375" customWidth="1"/>
    <col min="7" max="7" width="14.109375" customWidth="1"/>
    <col min="8" max="8" width="12.109375" bestFit="1" customWidth="1"/>
    <col min="9" max="9" width="17.109375" customWidth="1"/>
  </cols>
  <sheetData>
    <row r="3" spans="1:9" ht="15.6" x14ac:dyDescent="0.3">
      <c r="A3" s="4" t="s">
        <v>0</v>
      </c>
      <c r="B3" s="2" t="s">
        <v>2</v>
      </c>
      <c r="C3" s="2" t="s">
        <v>1</v>
      </c>
      <c r="D3" s="2" t="s">
        <v>60</v>
      </c>
      <c r="E3" s="2" t="s">
        <v>3</v>
      </c>
      <c r="F3" s="2" t="s">
        <v>4</v>
      </c>
      <c r="G3" s="2" t="s">
        <v>59</v>
      </c>
      <c r="H3" s="2" t="s">
        <v>7</v>
      </c>
      <c r="I3" s="2" t="s">
        <v>9</v>
      </c>
    </row>
    <row r="4" spans="1:9" x14ac:dyDescent="0.3">
      <c r="A4" s="3"/>
      <c r="B4" s="1"/>
      <c r="C4" s="1"/>
      <c r="D4" s="1"/>
      <c r="E4" s="1"/>
      <c r="F4" s="1"/>
      <c r="G4" s="1"/>
      <c r="H4" s="1"/>
      <c r="I4" s="1"/>
    </row>
  </sheetData>
  <conditionalFormatting sqref="B3:B4">
    <cfRule type="cellIs" dxfId="8" priority="5" operator="equal">
      <formula>"Epic"</formula>
    </cfRule>
    <cfRule type="cellIs" dxfId="7" priority="7" operator="equal">
      <formula>"Uncommon"</formula>
    </cfRule>
    <cfRule type="cellIs" priority="8" operator="equal">
      <formula>"Common"</formula>
    </cfRule>
  </conditionalFormatting>
  <conditionalFormatting sqref="B3:B4">
    <cfRule type="cellIs" dxfId="6" priority="6" operator="equal">
      <formula>"Rare"</formula>
    </cfRule>
  </conditionalFormatting>
  <conditionalFormatting sqref="E3:E4">
    <cfRule type="colorScale" priority="13">
      <colorScale>
        <cfvo type="min"/>
        <cfvo type="percentile" val="50"/>
        <cfvo type="max"/>
        <color theme="0"/>
        <color rgb="FFFF6D6D"/>
        <color rgb="FFFF0000"/>
      </colorScale>
    </cfRule>
  </conditionalFormatting>
  <conditionalFormatting sqref="F3:F4">
    <cfRule type="colorScale" priority="14">
      <colorScale>
        <cfvo type="min"/>
        <cfvo type="percentile" val="50"/>
        <cfvo type="max"/>
        <color theme="0"/>
        <color rgb="FFFF6D6D"/>
        <color rgb="FFFF0000"/>
      </colorScale>
    </cfRule>
  </conditionalFormatting>
  <conditionalFormatting sqref="G3:G4">
    <cfRule type="colorScale" priority="15">
      <colorScale>
        <cfvo type="min"/>
        <cfvo type="percentile" val="50"/>
        <cfvo type="max"/>
        <color theme="0"/>
        <color rgb="FFFF6D6D"/>
        <color rgb="FFFF0000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4D498-82F0-4DA1-9C57-02DBF003CEEC}">
  <sheetPr codeName="Sheet5"/>
  <dimension ref="A2:G3"/>
  <sheetViews>
    <sheetView zoomScale="85" zoomScaleNormal="85" workbookViewId="0">
      <selection activeCell="I11" sqref="I11"/>
    </sheetView>
  </sheetViews>
  <sheetFormatPr defaultRowHeight="14.4" x14ac:dyDescent="0.3"/>
  <cols>
    <col min="1" max="1" width="16.21875" customWidth="1"/>
    <col min="2" max="2" width="13" customWidth="1"/>
    <col min="3" max="3" width="15.21875" customWidth="1"/>
    <col min="4" max="4" width="13.44140625" customWidth="1"/>
    <col min="5" max="5" width="15" customWidth="1"/>
    <col min="6" max="6" width="13.44140625" customWidth="1"/>
    <col min="7" max="7" width="15.21875" customWidth="1"/>
  </cols>
  <sheetData>
    <row r="2" spans="1:7" ht="15.6" x14ac:dyDescent="0.3">
      <c r="A2" s="4" t="s">
        <v>0</v>
      </c>
      <c r="B2" s="2" t="s">
        <v>2</v>
      </c>
      <c r="C2" s="2" t="s">
        <v>1</v>
      </c>
      <c r="D2" s="2" t="s">
        <v>3</v>
      </c>
      <c r="E2" s="2" t="s">
        <v>61</v>
      </c>
      <c r="F2" s="2" t="s">
        <v>62</v>
      </c>
      <c r="G2" s="2" t="s">
        <v>7</v>
      </c>
    </row>
    <row r="3" spans="1:7" x14ac:dyDescent="0.3">
      <c r="A3" s="3"/>
      <c r="B3" s="1"/>
      <c r="C3" s="1"/>
      <c r="D3" s="1"/>
      <c r="E3" s="1"/>
      <c r="F3" s="1"/>
      <c r="G3" s="1"/>
    </row>
  </sheetData>
  <conditionalFormatting sqref="B2:B3">
    <cfRule type="cellIs" dxfId="5" priority="1" operator="equal">
      <formula>"Epic"</formula>
    </cfRule>
    <cfRule type="cellIs" dxfId="4" priority="3" operator="equal">
      <formula>"Uncommon"</formula>
    </cfRule>
    <cfRule type="cellIs" priority="4" operator="equal">
      <formula>"Common"</formula>
    </cfRule>
  </conditionalFormatting>
  <conditionalFormatting sqref="B2:B3">
    <cfRule type="cellIs" dxfId="3" priority="2" operator="equal">
      <formula>"Rare"</formula>
    </cfRule>
  </conditionalFormatting>
  <conditionalFormatting sqref="D2:D3">
    <cfRule type="colorScale" priority="5">
      <colorScale>
        <cfvo type="min"/>
        <cfvo type="percentile" val="50"/>
        <cfvo type="max"/>
        <color theme="0"/>
        <color rgb="FFFF6D6D"/>
        <color rgb="FFFF0000"/>
      </colorScale>
    </cfRule>
  </conditionalFormatting>
  <conditionalFormatting sqref="E2:E3">
    <cfRule type="colorScale" priority="6">
      <colorScale>
        <cfvo type="min"/>
        <cfvo type="percentile" val="50"/>
        <cfvo type="max"/>
        <color theme="0"/>
        <color rgb="FFFF6D6D"/>
        <color rgb="FFFF0000"/>
      </colorScale>
    </cfRule>
  </conditionalFormatting>
  <conditionalFormatting sqref="F2:F3">
    <cfRule type="colorScale" priority="7">
      <colorScale>
        <cfvo type="min"/>
        <cfvo type="percentile" val="50"/>
        <cfvo type="max"/>
        <color theme="0"/>
        <color rgb="FFFF6D6D"/>
        <color rgb="FFFF0000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789C5-1EC5-46C5-8FF6-17DEF2326735}">
  <sheetPr codeName="Sheet6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23805-450E-4F1C-82E1-81D47C2850F1}">
  <sheetPr codeName="Sheet7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4DF4F-9E77-40BB-882E-B30647137D8B}">
  <sheetPr codeName="Sheet8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BEA7F-3584-4C6D-A848-FE539D182DF5}">
  <sheetPr codeName="Sheet9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MATERIAL DATA</vt:lpstr>
      <vt:lpstr>INDEX</vt:lpstr>
      <vt:lpstr>WEAPON</vt:lpstr>
      <vt:lpstr>EQUIPMENT</vt:lpstr>
      <vt:lpstr>CONSUMABLE</vt:lpstr>
      <vt:lpstr>MATERIAL</vt:lpstr>
      <vt:lpstr>TEXT</vt:lpstr>
      <vt:lpstr>TOOL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Abenadi Corregidor</dc:creator>
  <cp:lastModifiedBy>Abenadi Corregidor</cp:lastModifiedBy>
  <dcterms:created xsi:type="dcterms:W3CDTF">2026-05-08T07:34:45Z</dcterms:created>
  <dcterms:modified xsi:type="dcterms:W3CDTF">2026-05-09T06:23:44Z</dcterms:modified>
</cp:coreProperties>
</file>